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T_Budget" sheetId="2" state="visible" r:id="rId2"/>
    <sheet xmlns:r="http://schemas.openxmlformats.org/officeDocument/2006/relationships" name="SLA_Monthly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2A44"/>
      <sz val="11"/>
    </font>
    <font>
      <name val="Calibri"/>
      <b val="1"/>
      <color rgb="000F2A44"/>
      <sz val="18"/>
    </font>
    <font>
      <name val="Calibri"/>
      <color rgb="00475569"/>
      <sz val="11"/>
    </font>
    <font>
      <name val="Calibri"/>
      <b val="1"/>
      <color rgb="00475569"/>
      <sz val="11"/>
    </font>
    <font>
      <name val="Calibri"/>
      <b val="1"/>
      <color rgb="000F2A44"/>
      <sz val="22"/>
    </font>
  </fonts>
  <fills count="4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E8EEF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0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3" fontId="6" fillId="3" borderId="1" pivotButton="0" quotePrefix="0" xfId="0"/>
    <xf numFmtId="0" fontId="4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CACA"/>
        </patternFill>
      </fill>
    </dxf>
    <dxf>
      <fill>
        <patternFill patternType="solid">
          <f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Budget vs Actual Spend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'IT_Budget'!C1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'IT_Budget'!$B$2:$B$11</f>
            </numRef>
          </cat>
          <val>
            <numRef>
              <f>'IT_Budget'!$C$2:$C$11</f>
            </numRef>
          </val>
        </ser>
        <ser>
          <idx val="1"/>
          <order val="1"/>
          <tx>
            <strRef>
              <f>'IT_Budget'!H1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'IT_Budget'!$B$2:$B$11</f>
            </numRef>
          </cat>
          <val>
            <numRef>
              <f>'IT_Budget'!$H$2:$H$11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Budget 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Met % by Month (target 95%)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SLA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udgetTable" displayName="BudgetTable" ref="A1:K11" headerRowCount="1">
  <autoFilter ref="A1:K11"/>
  <tableColumns count="11">
    <tableColumn id="1" name="Category"/>
    <tableColumn id="2" name="Item"/>
    <tableColumn id="3" name="Annual Budget"/>
    <tableColumn id="4" name="Q1 Actual"/>
    <tableColumn id="5" name="Q2 Actual"/>
    <tableColumn id="6" name="Q3 Actual"/>
    <tableColumn id="7" name="Q4 Actual"/>
    <tableColumn id="8" name="Total Actual"/>
    <tableColumn id="9" name="Remaining"/>
    <tableColumn id="10" name="Variance %"/>
    <tableColumn id="11" name="Status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SLATable" displayName="SLATable" ref="A1:G11" headerRowCount="1">
  <autoFilter ref="A1:G11"/>
  <tableColumns count="7">
    <tableColumn id="1" name="Month"/>
    <tableColumn id="2" name="Tickets Logged"/>
    <tableColumn id="3" name="Resolved"/>
    <tableColumn id="4" name="Resolved Within SLA"/>
    <tableColumn id="5" name="SLA %"/>
    <tableColumn id="6" name="Avg Resolution (hrs)"/>
    <tableColumn id="7" name="P1 Incidents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VendorsTable" displayName="VendorsTable" ref="A1:H8" headerRowCount="1">
  <autoFilter ref="A1:H8"/>
  <tableColumns count="8">
    <tableColumn id="1" name="Vendor"/>
    <tableColumn id="2" name="Service"/>
    <tableColumn id="3" name="Contract Start"/>
    <tableColumn id="4" name="Renewal Date"/>
    <tableColumn id="5" name="Annual Cost"/>
    <tableColumn id="6" name="Notice Period (days)"/>
    <tableColumn id="7" name="Days to Renewal"/>
    <tableColumn id="8" name="Renewal Alert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B2:I16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4" customWidth="1" min="4" max="4"/>
    <col width="18" customWidth="1" min="5" max="5"/>
    <col width="18" customWidth="1" min="6" max="6"/>
    <col width="4" customWidth="1" min="7" max="7"/>
    <col width="18" customWidth="1" min="8" max="8"/>
    <col width="18" customWidth="1" min="9" max="9"/>
  </cols>
  <sheetData>
    <row r="2">
      <c r="B2" s="1" t="inlineStr">
        <is>
          <t>IT Budget &amp; SLA Tracker — Dashboard</t>
        </is>
      </c>
    </row>
    <row r="3">
      <c r="B3" s="2" t="inlineStr">
        <is>
          <t>Built by Zohaib Yousaf — IT Manager  |  info@zohaibyousaf.com  |  Every figure below is a live formula from IT_Budget and SLA_Monthly. Sample data — replace with actuals.</t>
        </is>
      </c>
    </row>
    <row r="5">
      <c r="B5" s="3" t="inlineStr">
        <is>
          <t>Total Annual IT Budget</t>
        </is>
      </c>
      <c r="C5" s="4" t="n"/>
      <c r="E5" s="3" t="inlineStr">
        <is>
          <t>Actual Spend YTD</t>
        </is>
      </c>
      <c r="F5" s="4" t="n"/>
      <c r="H5" s="3" t="inlineStr">
        <is>
          <t>Budget Variance %</t>
        </is>
      </c>
      <c r="I5" s="4" t="n"/>
    </row>
    <row r="6">
      <c r="B6" s="5">
        <f>IT_Budget!C12</f>
        <v/>
      </c>
      <c r="C6" s="4" t="n"/>
      <c r="E6" s="5">
        <f>IT_Budget!H12</f>
        <v/>
      </c>
      <c r="F6" s="4" t="n"/>
      <c r="H6" s="6">
        <f>IT_Budget!J12</f>
        <v/>
      </c>
      <c r="I6" s="4" t="n"/>
    </row>
    <row r="9">
      <c r="B9" s="3" t="inlineStr">
        <is>
          <t>SLA Met % (YTD)</t>
        </is>
      </c>
      <c r="C9" s="4" t="n"/>
      <c r="E9" s="3" t="inlineStr">
        <is>
          <t>Tickets This Month (Oct 2026)</t>
        </is>
      </c>
      <c r="F9" s="4" t="n"/>
      <c r="H9" s="3" t="inlineStr">
        <is>
          <t>Contracts Flagged RENEW SOON</t>
        </is>
      </c>
      <c r="I9" s="4" t="n"/>
    </row>
    <row r="10">
      <c r="B10" s="6">
        <f>SLA_Monthly!E12</f>
        <v/>
      </c>
      <c r="C10" s="4" t="n"/>
      <c r="E10" s="7">
        <f>SLA_Monthly!B11</f>
        <v/>
      </c>
      <c r="F10" s="4" t="n"/>
      <c r="H10" s="7">
        <f>COUNTIF(Vendors!H:H,"RENEW SOON")</f>
        <v/>
      </c>
      <c r="I10" s="4" t="n"/>
    </row>
    <row r="14">
      <c r="B14" s="8" t="inlineStr">
        <is>
          <t>How to use:  1) Update Q1–Q4 actuals on IT_Budget as invoices land — variance and status update themselves.  2) Add one row per month to SLA_Monthly; months under the 95% SLA target are highlighted.  3) Keep Vendors renewal dates current — contracts inside their notice period flag RENEW SOON on this Dashboard.</t>
        </is>
      </c>
    </row>
    <row r="15"/>
    <row r="16"/>
  </sheetData>
  <mergeCells count="2">
    <mergeCell ref="B3:I3"/>
    <mergeCell ref="B14:I1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1" customWidth="1" min="10" max="10"/>
    <col width="30" customWidth="1" min="11" max="11"/>
  </cols>
  <sheetData>
    <row r="1" ht="30" customHeight="1">
      <c r="A1" s="9" t="inlineStr">
        <is>
          <t>Category</t>
        </is>
      </c>
      <c r="B1" s="9" t="inlineStr">
        <is>
          <t>Item</t>
        </is>
      </c>
      <c r="C1" s="9" t="inlineStr">
        <is>
          <t>Annual Budget</t>
        </is>
      </c>
      <c r="D1" s="9" t="inlineStr">
        <is>
          <t>Q1 Actual</t>
        </is>
      </c>
      <c r="E1" s="9" t="inlineStr">
        <is>
          <t>Q2 Actual</t>
        </is>
      </c>
      <c r="F1" s="9" t="inlineStr">
        <is>
          <t>Q3 Actual</t>
        </is>
      </c>
      <c r="G1" s="9" t="inlineStr">
        <is>
          <t>Q4 Actual</t>
        </is>
      </c>
      <c r="H1" s="9" t="inlineStr">
        <is>
          <t>Total Actual</t>
        </is>
      </c>
      <c r="I1" s="9" t="inlineStr">
        <is>
          <t>Remaining</t>
        </is>
      </c>
      <c r="J1" s="9" t="inlineStr">
        <is>
          <t>Variance %</t>
        </is>
      </c>
      <c r="K1" s="9" t="inlineStr">
        <is>
          <t>Status</t>
        </is>
      </c>
    </row>
    <row r="2">
      <c r="A2" s="10" t="inlineStr">
        <is>
          <t>Hardware</t>
        </is>
      </c>
      <c r="B2" s="10" t="inlineStr">
        <is>
          <t>End-user devices refresh (laptops &amp; desktops)</t>
        </is>
      </c>
      <c r="C2" s="11" t="n">
        <v>45000</v>
      </c>
      <c r="D2" s="11" t="n">
        <v>12800</v>
      </c>
      <c r="E2" s="11" t="n">
        <v>11500</v>
      </c>
      <c r="F2" s="11" t="n">
        <v>9400</v>
      </c>
      <c r="G2" s="11" t="n">
        <v>0</v>
      </c>
      <c r="H2" s="11">
        <f>SUM(D2:G2)</f>
        <v/>
      </c>
      <c r="I2" s="11">
        <f>C2-H2</f>
        <v/>
      </c>
      <c r="J2" s="12">
        <f>IF(C2=0,0,(H2-C2)/C2)</f>
        <v/>
      </c>
      <c r="K2" s="13">
        <f>IF(H2&gt;C2,"Over Budget","On Track")</f>
        <v/>
      </c>
    </row>
    <row r="3">
      <c r="A3" s="10" t="inlineStr">
        <is>
          <t>Hardware</t>
        </is>
      </c>
      <c r="B3" s="10" t="inlineStr">
        <is>
          <t>Servers &amp; storage</t>
        </is>
      </c>
      <c r="C3" s="11" t="n">
        <v>30000</v>
      </c>
      <c r="D3" s="11" t="n">
        <v>8200</v>
      </c>
      <c r="E3" s="11" t="n">
        <v>7600</v>
      </c>
      <c r="F3" s="11" t="n">
        <v>5100</v>
      </c>
      <c r="G3" s="11" t="n">
        <v>0</v>
      </c>
      <c r="H3" s="11">
        <f>SUM(D3:G3)</f>
        <v/>
      </c>
      <c r="I3" s="11">
        <f>C3-H3</f>
        <v/>
      </c>
      <c r="J3" s="12">
        <f>IF(C3=0,0,(H3-C3)/C3)</f>
        <v/>
      </c>
      <c r="K3" s="13">
        <f>IF(H3&gt;C3,"Over Budget","On Track")</f>
        <v/>
      </c>
    </row>
    <row r="4">
      <c r="A4" s="10" t="inlineStr">
        <is>
          <t>Software &amp; Licences</t>
        </is>
      </c>
      <c r="B4" s="10" t="inlineStr">
        <is>
          <t>Microsoft 365 &amp; software licences</t>
        </is>
      </c>
      <c r="C4" s="11" t="n">
        <v>24000</v>
      </c>
      <c r="D4" s="11" t="n">
        <v>6000</v>
      </c>
      <c r="E4" s="11" t="n">
        <v>6000</v>
      </c>
      <c r="F4" s="11" t="n">
        <v>6000</v>
      </c>
      <c r="G4" s="11" t="n">
        <v>0</v>
      </c>
      <c r="H4" s="11">
        <f>SUM(D4:G4)</f>
        <v/>
      </c>
      <c r="I4" s="11">
        <f>C4-H4</f>
        <v/>
      </c>
      <c r="J4" s="12">
        <f>IF(C4=0,0,(H4-C4)/C4)</f>
        <v/>
      </c>
      <c r="K4" s="13">
        <f>IF(H4&gt;C4,"Over Budget","On Track")</f>
        <v/>
      </c>
    </row>
    <row r="5">
      <c r="A5" s="10" t="inlineStr">
        <is>
          <t>Software &amp; Licences</t>
        </is>
      </c>
      <c r="B5" s="10" t="inlineStr">
        <is>
          <t>Design &amp; productivity tools</t>
        </is>
      </c>
      <c r="C5" s="11" t="n">
        <v>4000</v>
      </c>
      <c r="D5" s="11" t="n">
        <v>2350</v>
      </c>
      <c r="E5" s="11" t="n">
        <v>1900</v>
      </c>
      <c r="F5" s="11" t="n">
        <v>0</v>
      </c>
      <c r="G5" s="11" t="n">
        <v>0</v>
      </c>
      <c r="H5" s="11">
        <f>SUM(D5:G5)</f>
        <v/>
      </c>
      <c r="I5" s="11">
        <f>C5-H5</f>
        <v/>
      </c>
      <c r="J5" s="12">
        <f>IF(C5=0,0,(H5-C5)/C5)</f>
        <v/>
      </c>
      <c r="K5" s="13">
        <f>IF(H5&gt;C5,"Over Budget","On Track")</f>
        <v/>
      </c>
    </row>
    <row r="6">
      <c r="A6" s="10" t="inlineStr">
        <is>
          <t>Cloud (Azure/M365)</t>
        </is>
      </c>
      <c r="B6" s="10" t="inlineStr">
        <is>
          <t>Azure infrastructure &amp; cloud services</t>
        </is>
      </c>
      <c r="C6" s="11" t="n">
        <v>36000</v>
      </c>
      <c r="D6" s="11" t="n">
        <v>8400</v>
      </c>
      <c r="E6" s="11" t="n">
        <v>9100</v>
      </c>
      <c r="F6" s="11" t="n">
        <v>9800</v>
      </c>
      <c r="G6" s="11" t="n">
        <v>0</v>
      </c>
      <c r="H6" s="11">
        <f>SUM(D6:G6)</f>
        <v/>
      </c>
      <c r="I6" s="11">
        <f>C6-H6</f>
        <v/>
      </c>
      <c r="J6" s="12">
        <f>IF(C6=0,0,(H6-C6)/C6)</f>
        <v/>
      </c>
      <c r="K6" s="13">
        <f>IF(H6&gt;C6,"Over Budget","On Track")</f>
        <v/>
      </c>
    </row>
    <row r="7">
      <c r="A7" s="10" t="inlineStr">
        <is>
          <t>Cloud (Azure/M365)</t>
        </is>
      </c>
      <c r="B7" s="10" t="inlineStr">
        <is>
          <t>SaaS subscriptions</t>
        </is>
      </c>
      <c r="C7" s="11" t="n">
        <v>15000</v>
      </c>
      <c r="D7" s="11" t="n">
        <v>3700</v>
      </c>
      <c r="E7" s="11" t="n">
        <v>3800</v>
      </c>
      <c r="F7" s="11" t="n">
        <v>3900</v>
      </c>
      <c r="G7" s="11" t="n">
        <v>0</v>
      </c>
      <c r="H7" s="11">
        <f>SUM(D7:G7)</f>
        <v/>
      </c>
      <c r="I7" s="11">
        <f>C7-H7</f>
        <v/>
      </c>
      <c r="J7" s="12">
        <f>IF(C7=0,0,(H7-C7)/C7)</f>
        <v/>
      </c>
      <c r="K7" s="13">
        <f>IF(H7&gt;C7,"Over Budget","On Track")</f>
        <v/>
      </c>
    </row>
    <row r="8">
      <c r="A8" s="10" t="inlineStr">
        <is>
          <t>Network</t>
        </is>
      </c>
      <c r="B8" s="10" t="inlineStr">
        <is>
          <t>Internet, WAN links &amp; network hardware</t>
        </is>
      </c>
      <c r="C8" s="11" t="n">
        <v>32000</v>
      </c>
      <c r="D8" s="11" t="n">
        <v>7900</v>
      </c>
      <c r="E8" s="11" t="n">
        <v>8100</v>
      </c>
      <c r="F8" s="11" t="n">
        <v>8050</v>
      </c>
      <c r="G8" s="11" t="n">
        <v>0</v>
      </c>
      <c r="H8" s="11">
        <f>SUM(D8:G8)</f>
        <v/>
      </c>
      <c r="I8" s="11">
        <f>C8-H8</f>
        <v/>
      </c>
      <c r="J8" s="12">
        <f>IF(C8=0,0,(H8-C8)/C8)</f>
        <v/>
      </c>
      <c r="K8" s="13">
        <f>IF(H8&gt;C8,"Over Budget","On Track")</f>
        <v/>
      </c>
    </row>
    <row r="9">
      <c r="A9" s="10" t="inlineStr">
        <is>
          <t>Security</t>
        </is>
      </c>
      <c r="B9" s="10" t="inlineStr">
        <is>
          <t>Security tools, firewall licences &amp; backup</t>
        </is>
      </c>
      <c r="C9" s="11" t="n">
        <v>28000</v>
      </c>
      <c r="D9" s="11" t="n">
        <v>6900</v>
      </c>
      <c r="E9" s="11" t="n">
        <v>7050</v>
      </c>
      <c r="F9" s="11" t="n">
        <v>7000</v>
      </c>
      <c r="G9" s="11" t="n">
        <v>0</v>
      </c>
      <c r="H9" s="11">
        <f>SUM(D9:G9)</f>
        <v/>
      </c>
      <c r="I9" s="11">
        <f>C9-H9</f>
        <v/>
      </c>
      <c r="J9" s="12">
        <f>IF(C9=0,0,(H9-C9)/C9)</f>
        <v/>
      </c>
      <c r="K9" s="13">
        <f>IF(H9&gt;C9,"Over Budget","On Track")</f>
        <v/>
      </c>
    </row>
    <row r="10">
      <c r="A10" s="10" t="inlineStr">
        <is>
          <t>Support Contracts</t>
        </is>
      </c>
      <c r="B10" s="10" t="inlineStr">
        <is>
          <t>Vendor support &amp; maintenance contracts</t>
        </is>
      </c>
      <c r="C10" s="11" t="n">
        <v>20000</v>
      </c>
      <c r="D10" s="11" t="n">
        <v>5000</v>
      </c>
      <c r="E10" s="11" t="n">
        <v>5000</v>
      </c>
      <c r="F10" s="11" t="n">
        <v>5000</v>
      </c>
      <c r="G10" s="11" t="n">
        <v>0</v>
      </c>
      <c r="H10" s="11">
        <f>SUM(D10:G10)</f>
        <v/>
      </c>
      <c r="I10" s="11">
        <f>C10-H10</f>
        <v/>
      </c>
      <c r="J10" s="12">
        <f>IF(C10=0,0,(H10-C10)/C10)</f>
        <v/>
      </c>
      <c r="K10" s="13">
        <f>IF(H10&gt;C10,"Over Budget","On Track")</f>
        <v/>
      </c>
    </row>
    <row r="11">
      <c r="A11" s="10" t="inlineStr">
        <is>
          <t>Training</t>
        </is>
      </c>
      <c r="B11" s="10" t="inlineStr">
        <is>
          <t>IT staff training &amp; certifications</t>
        </is>
      </c>
      <c r="C11" s="11" t="n">
        <v>8000</v>
      </c>
      <c r="D11" s="11" t="n">
        <v>1800</v>
      </c>
      <c r="E11" s="11" t="n">
        <v>2400</v>
      </c>
      <c r="F11" s="11" t="n">
        <v>1200</v>
      </c>
      <c r="G11" s="11" t="n">
        <v>0</v>
      </c>
      <c r="H11" s="11">
        <f>SUM(D11:G11)</f>
        <v/>
      </c>
      <c r="I11" s="11">
        <f>C11-H11</f>
        <v/>
      </c>
      <c r="J11" s="12">
        <f>IF(C11=0,0,(H11-C11)/C11)</f>
        <v/>
      </c>
      <c r="K11" s="13">
        <f>IF(H11&gt;C11,"Over Budget","On Track")</f>
        <v/>
      </c>
    </row>
    <row r="12">
      <c r="A12" s="14" t="inlineStr">
        <is>
          <t>TOTAL</t>
        </is>
      </c>
      <c r="B12" s="14" t="inlineStr">
        <is>
          <t>All categories</t>
        </is>
      </c>
      <c r="C12" s="15">
        <f>SUM(C2:C11)</f>
        <v/>
      </c>
      <c r="D12" s="15">
        <f>SUM(D2:D11)</f>
        <v/>
      </c>
      <c r="E12" s="15">
        <f>SUM(E2:E11)</f>
        <v/>
      </c>
      <c r="F12" s="15">
        <f>SUM(F2:F11)</f>
        <v/>
      </c>
      <c r="G12" s="15">
        <f>SUM(G2:G11)</f>
        <v/>
      </c>
      <c r="H12" s="15">
        <f>SUM(H2:H11)</f>
        <v/>
      </c>
      <c r="I12" s="15">
        <f>SUM(I2:I11)</f>
        <v/>
      </c>
      <c r="J12" s="16">
        <f>IF(C12=0,0,(H12-C12)/C12)</f>
        <v/>
      </c>
      <c r="K12" s="17">
        <f>IF(COUNTIF(K2:K11,"Over Budget")&gt;0,"Review — see lines above","On Track")</f>
        <v/>
      </c>
    </row>
  </sheetData>
  <conditionalFormatting sqref="J2:J11">
    <cfRule type="cellIs" priority="1" operator="greaterThan" dxfId="0">
      <formula>0</formula>
    </cfRule>
  </conditionalFormatting>
  <conditionalFormatting sqref="K2:K11">
    <cfRule type="expression" priority="2" dxfId="0">
      <formula>$K2="Over Budget"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1" customWidth="1" min="3" max="3"/>
    <col width="19" customWidth="1" min="4" max="4"/>
    <col width="10" customWidth="1" min="5" max="5"/>
    <col width="19" customWidth="1" min="6" max="6"/>
    <col width="13" customWidth="1" min="7" max="7"/>
  </cols>
  <sheetData>
    <row r="1" ht="30" customHeight="1">
      <c r="A1" s="9" t="inlineStr">
        <is>
          <t>Month</t>
        </is>
      </c>
      <c r="B1" s="9" t="inlineStr">
        <is>
          <t>Tickets Logged</t>
        </is>
      </c>
      <c r="C1" s="9" t="inlineStr">
        <is>
          <t>Resolved</t>
        </is>
      </c>
      <c r="D1" s="9" t="inlineStr">
        <is>
          <t>Resolved Within SLA</t>
        </is>
      </c>
      <c r="E1" s="9" t="inlineStr">
        <is>
          <t>SLA %</t>
        </is>
      </c>
      <c r="F1" s="9" t="inlineStr">
        <is>
          <t>Avg Resolution (hrs)</t>
        </is>
      </c>
      <c r="G1" s="9" t="inlineStr">
        <is>
          <t>P1 Incidents</t>
        </is>
      </c>
    </row>
    <row r="2">
      <c r="A2" t="inlineStr">
        <is>
          <t>Jan 2026</t>
        </is>
      </c>
      <c r="B2" s="13" t="n">
        <v>148</v>
      </c>
      <c r="C2" s="13" t="n">
        <v>141</v>
      </c>
      <c r="D2" s="13" t="n">
        <v>140</v>
      </c>
      <c r="E2" s="12">
        <f>IF(B2=0,0,D2/B2)</f>
        <v/>
      </c>
      <c r="F2" s="13" t="n">
        <v>7.4</v>
      </c>
      <c r="G2" s="13" t="n">
        <v>1</v>
      </c>
    </row>
    <row r="3">
      <c r="A3" t="inlineStr">
        <is>
          <t>Feb 2026</t>
        </is>
      </c>
      <c r="B3" s="13" t="n">
        <v>132</v>
      </c>
      <c r="C3" s="13" t="n">
        <v>128</v>
      </c>
      <c r="D3" s="13" t="n">
        <v>126</v>
      </c>
      <c r="E3" s="12">
        <f>IF(B3=0,0,D3/B3)</f>
        <v/>
      </c>
      <c r="F3" s="13" t="n">
        <v>6.8</v>
      </c>
      <c r="G3" s="13" t="n">
        <v>0</v>
      </c>
    </row>
    <row r="4">
      <c r="A4" t="inlineStr">
        <is>
          <t>Mar 2026</t>
        </is>
      </c>
      <c r="B4" s="13" t="n">
        <v>171</v>
      </c>
      <c r="C4" s="13" t="n">
        <v>158</v>
      </c>
      <c r="D4" s="13" t="n">
        <v>149</v>
      </c>
      <c r="E4" s="12">
        <f>IF(B4=0,0,D4/B4)</f>
        <v/>
      </c>
      <c r="F4" s="13" t="n">
        <v>9.6</v>
      </c>
      <c r="G4" s="13" t="n">
        <v>2</v>
      </c>
    </row>
    <row r="5">
      <c r="A5" t="inlineStr">
        <is>
          <t>Apr 2026</t>
        </is>
      </c>
      <c r="B5" s="13" t="n">
        <v>156</v>
      </c>
      <c r="C5" s="13" t="n">
        <v>150</v>
      </c>
      <c r="D5" s="13" t="n">
        <v>148</v>
      </c>
      <c r="E5" s="12">
        <f>IF(B5=0,0,D5/B5)</f>
        <v/>
      </c>
      <c r="F5" s="13" t="n">
        <v>7.1</v>
      </c>
      <c r="G5" s="13" t="n">
        <v>1</v>
      </c>
    </row>
    <row r="6">
      <c r="A6" t="inlineStr">
        <is>
          <t>May 2026</t>
        </is>
      </c>
      <c r="B6" s="13" t="n">
        <v>164</v>
      </c>
      <c r="C6" s="13" t="n">
        <v>159</v>
      </c>
      <c r="D6" s="13" t="n">
        <v>156</v>
      </c>
      <c r="E6" s="12">
        <f>IF(B6=0,0,D6/B6)</f>
        <v/>
      </c>
      <c r="F6" s="13" t="n">
        <v>7.9</v>
      </c>
      <c r="G6" s="13" t="n">
        <v>1</v>
      </c>
    </row>
    <row r="7">
      <c r="A7" t="inlineStr">
        <is>
          <t>Jun 2026</t>
        </is>
      </c>
      <c r="B7" s="13" t="n">
        <v>149</v>
      </c>
      <c r="C7" s="13" t="n">
        <v>144</v>
      </c>
      <c r="D7" s="13" t="n">
        <v>142</v>
      </c>
      <c r="E7" s="12">
        <f>IF(B7=0,0,D7/B7)</f>
        <v/>
      </c>
      <c r="F7" s="13" t="n">
        <v>6.5</v>
      </c>
      <c r="G7" s="13" t="n">
        <v>0</v>
      </c>
    </row>
    <row r="8">
      <c r="A8" t="inlineStr">
        <is>
          <t>Jul 2026</t>
        </is>
      </c>
      <c r="B8" s="13" t="n">
        <v>138</v>
      </c>
      <c r="C8" s="13" t="n">
        <v>133</v>
      </c>
      <c r="D8" s="13" t="n">
        <v>131</v>
      </c>
      <c r="E8" s="12">
        <f>IF(B8=0,0,D8/B8)</f>
        <v/>
      </c>
      <c r="F8" s="13" t="n">
        <v>6.9</v>
      </c>
      <c r="G8" s="13" t="n">
        <v>1</v>
      </c>
    </row>
    <row r="9">
      <c r="A9" t="inlineStr">
        <is>
          <t>Aug 2026</t>
        </is>
      </c>
      <c r="B9" s="13" t="n">
        <v>127</v>
      </c>
      <c r="C9" s="13" t="n">
        <v>123</v>
      </c>
      <c r="D9" s="13" t="n">
        <v>121</v>
      </c>
      <c r="E9" s="12">
        <f>IF(B9=0,0,D9/B9)</f>
        <v/>
      </c>
      <c r="F9" s="13" t="n">
        <v>6.2</v>
      </c>
      <c r="G9" s="13" t="n">
        <v>0</v>
      </c>
    </row>
    <row r="10">
      <c r="A10" t="inlineStr">
        <is>
          <t>Sep 2026</t>
        </is>
      </c>
      <c r="B10" s="13" t="n">
        <v>186</v>
      </c>
      <c r="C10" s="13" t="n">
        <v>172</v>
      </c>
      <c r="D10" s="13" t="n">
        <v>166</v>
      </c>
      <c r="E10" s="12">
        <f>IF(B10=0,0,D10/B10)</f>
        <v/>
      </c>
      <c r="F10" s="13" t="n">
        <v>10.8</v>
      </c>
      <c r="G10" s="13" t="n">
        <v>3</v>
      </c>
    </row>
    <row r="11">
      <c r="A11" t="inlineStr">
        <is>
          <t>Oct 2026</t>
        </is>
      </c>
      <c r="B11" s="13" t="n">
        <v>173</v>
      </c>
      <c r="C11" s="13" t="n">
        <v>160</v>
      </c>
      <c r="D11" s="13" t="n">
        <v>157</v>
      </c>
      <c r="E11" s="12">
        <f>IF(B11=0,0,D11/B11)</f>
        <v/>
      </c>
      <c r="F11" s="13" t="n">
        <v>8.699999999999999</v>
      </c>
      <c r="G11" s="13" t="n">
        <v>1</v>
      </c>
    </row>
    <row r="12">
      <c r="A12" s="18" t="inlineStr">
        <is>
          <t>TOTAL / AVERAGE (Jan–Oct)</t>
        </is>
      </c>
      <c r="B12" s="17">
        <f>SUM(B2:B11)</f>
        <v/>
      </c>
      <c r="C12" s="17">
        <f>SUM(C2:C11)</f>
        <v/>
      </c>
      <c r="D12" s="17">
        <f>SUM(D2:D11)</f>
        <v/>
      </c>
      <c r="E12" s="16">
        <f>IF(B12=0,0,D12/B12)</f>
        <v/>
      </c>
      <c r="F12" s="17">
        <f>ROUND(AVERAGE(F2:F11),1)</f>
        <v/>
      </c>
      <c r="G12" s="17">
        <f>SUM(G2:G11)</f>
        <v/>
      </c>
    </row>
  </sheetData>
  <conditionalFormatting sqref="E2:E11">
    <cfRule type="cellIs" priority="1" operator="lessThan" dxfId="1">
      <formula>0.95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2B134"/>
    <outlinePr summaryBelow="1" summaryRight="1"/>
    <pageSetUpPr fitToPage="1"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3" customWidth="1" min="4" max="4"/>
    <col width="13" customWidth="1" min="5" max="5"/>
    <col width="17" customWidth="1" min="6" max="6"/>
    <col width="15" customWidth="1" min="7" max="7"/>
    <col width="14" customWidth="1" min="8" max="8"/>
  </cols>
  <sheetData>
    <row r="1" ht="30" customHeight="1">
      <c r="A1" s="9" t="inlineStr">
        <is>
          <t>Vendor</t>
        </is>
      </c>
      <c r="B1" s="9" t="inlineStr">
        <is>
          <t>Service</t>
        </is>
      </c>
      <c r="C1" s="9" t="inlineStr">
        <is>
          <t>Contract Start</t>
        </is>
      </c>
      <c r="D1" s="9" t="inlineStr">
        <is>
          <t>Renewal Date</t>
        </is>
      </c>
      <c r="E1" s="9" t="inlineStr">
        <is>
          <t>Annual Cost</t>
        </is>
      </c>
      <c r="F1" s="9" t="inlineStr">
        <is>
          <t>Notice Period (days)</t>
        </is>
      </c>
      <c r="G1" s="9" t="inlineStr">
        <is>
          <t>Days to Renewal</t>
        </is>
      </c>
      <c r="H1" s="9" t="inlineStr">
        <is>
          <t>Renewal Alert</t>
        </is>
      </c>
    </row>
    <row r="2">
      <c r="A2" t="inlineStr">
        <is>
          <t>Microsoft</t>
        </is>
      </c>
      <c r="B2" t="inlineStr">
        <is>
          <t>Microsoft 365 &amp; Azure agreement</t>
        </is>
      </c>
      <c r="C2" s="19" t="n">
        <v>46082</v>
      </c>
      <c r="D2" s="19" t="n">
        <v>46447</v>
      </c>
      <c r="E2" s="11" t="n">
        <v>60000</v>
      </c>
      <c r="F2" s="13" t="n">
        <v>90</v>
      </c>
      <c r="G2" s="13">
        <f>D2-TODAY()</f>
        <v/>
      </c>
      <c r="H2" s="13">
        <f>IF(G2&lt;=F2,"RENEW SOON","OK")</f>
        <v/>
      </c>
    </row>
    <row r="3">
      <c r="A3" t="inlineStr">
        <is>
          <t>Adobe</t>
        </is>
      </c>
      <c r="B3" t="inlineStr">
        <is>
          <t>Creative &amp; document tools</t>
        </is>
      </c>
      <c r="C3" s="19" t="n">
        <v>46006</v>
      </c>
      <c r="D3" s="19" t="n">
        <v>46371</v>
      </c>
      <c r="E3" s="11" t="n">
        <v>5400</v>
      </c>
      <c r="F3" s="13" t="n">
        <v>30</v>
      </c>
      <c r="G3" s="13">
        <f>D3-TODAY()</f>
        <v/>
      </c>
      <c r="H3" s="13">
        <f>IF(G3&lt;=F3,"RENEW SOON","OK")</f>
        <v/>
      </c>
    </row>
    <row r="4">
      <c r="A4" t="inlineStr">
        <is>
          <t>Primary ISP</t>
        </is>
      </c>
      <c r="B4" t="inlineStr">
        <is>
          <t>Fibre internet &amp; WAN links</t>
        </is>
      </c>
      <c r="C4" s="19" t="n">
        <v>45976</v>
      </c>
      <c r="D4" s="19" t="n">
        <v>46341</v>
      </c>
      <c r="E4" s="11" t="n">
        <v>21600</v>
      </c>
      <c r="F4" s="13" t="n">
        <v>30</v>
      </c>
      <c r="G4" s="13">
        <f>D4-TODAY()</f>
        <v/>
      </c>
      <c r="H4" s="13">
        <f>IF(G4&lt;=F4,"RENEW SOON","OK")</f>
        <v/>
      </c>
    </row>
    <row r="5">
      <c r="A5" t="inlineStr">
        <is>
          <t>Endpoint Security Vendor</t>
        </is>
      </c>
      <c r="B5" t="inlineStr">
        <is>
          <t>Antivirus &amp; endpoint protection</t>
        </is>
      </c>
      <c r="C5" s="19" t="n">
        <v>46053</v>
      </c>
      <c r="D5" s="19" t="n">
        <v>46418</v>
      </c>
      <c r="E5" s="11" t="n">
        <v>8400</v>
      </c>
      <c r="F5" s="13" t="n">
        <v>60</v>
      </c>
      <c r="G5" s="13">
        <f>D5-TODAY()</f>
        <v/>
      </c>
      <c r="H5" s="13">
        <f>IF(G5&lt;=F5,"RENEW SOON","OK")</f>
        <v/>
      </c>
    </row>
    <row r="6">
      <c r="A6" t="inlineStr">
        <is>
          <t>Backup Vendor</t>
        </is>
      </c>
      <c r="B6" t="inlineStr">
        <is>
          <t>Backup &amp; recovery platform</t>
        </is>
      </c>
      <c r="C6" s="19" t="n">
        <v>46172</v>
      </c>
      <c r="D6" s="19" t="n">
        <v>46537</v>
      </c>
      <c r="E6" s="11" t="n">
        <v>9600</v>
      </c>
      <c r="F6" s="13" t="n">
        <v>60</v>
      </c>
      <c r="G6" s="13">
        <f>D6-TODAY()</f>
        <v/>
      </c>
      <c r="H6" s="13">
        <f>IF(G6&lt;=F6,"RENEW SOON","OK")</f>
        <v/>
      </c>
    </row>
    <row r="7">
      <c r="A7" t="inlineStr">
        <is>
          <t>Hardware Maintenance Co.</t>
        </is>
      </c>
      <c r="B7" t="inlineStr">
        <is>
          <t>Server &amp; network support contract</t>
        </is>
      </c>
      <c r="C7" s="19" t="n">
        <v>46204</v>
      </c>
      <c r="D7" s="19" t="n">
        <v>46569</v>
      </c>
      <c r="E7" s="11" t="n">
        <v>14400</v>
      </c>
      <c r="F7" s="13" t="n">
        <v>90</v>
      </c>
      <c r="G7" s="13">
        <f>D7-TODAY()</f>
        <v/>
      </c>
      <c r="H7" s="13">
        <f>IF(G7&lt;=F7,"RENEW SOON","OK")</f>
        <v/>
      </c>
    </row>
    <row r="8">
      <c r="A8" t="inlineStr">
        <is>
          <t>Domain &amp; Hosting Provider</t>
        </is>
      </c>
      <c r="B8" t="inlineStr">
        <is>
          <t>Domains, DNS &amp; web hosting</t>
        </is>
      </c>
      <c r="C8" s="19" t="n">
        <v>46054</v>
      </c>
      <c r="D8" s="19" t="n">
        <v>46419</v>
      </c>
      <c r="E8" s="11" t="n">
        <v>1800</v>
      </c>
      <c r="F8" s="13" t="n">
        <v>30</v>
      </c>
      <c r="G8" s="13">
        <f>D8-TODAY()</f>
        <v/>
      </c>
      <c r="H8" s="13">
        <f>IF(G8&lt;=F8,"RENEW SOON","OK")</f>
        <v/>
      </c>
    </row>
  </sheetData>
  <conditionalFormatting sqref="H2:H8">
    <cfRule type="expression" priority="1" dxfId="1">
      <formula>$H2="RENEW SOON"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</cols>
  <sheetData>
    <row r="1" ht="30" customHeight="1">
      <c r="A1" s="9" t="inlineStr">
        <is>
          <t>Month</t>
        </is>
      </c>
      <c r="B1" s="9" t="inlineStr">
        <is>
          <t>Tickets Logged</t>
        </is>
      </c>
      <c r="C1" s="9" t="inlineStr">
        <is>
          <t>SLA %</t>
        </is>
      </c>
    </row>
    <row r="2">
      <c r="A2">
        <f>SLA_Monthly!A2</f>
        <v/>
      </c>
      <c r="B2">
        <f>SLA_Monthly!B2</f>
        <v/>
      </c>
      <c r="C2" s="12">
        <f>SLA_Monthly!E2</f>
        <v/>
      </c>
    </row>
    <row r="3">
      <c r="A3">
        <f>SLA_Monthly!A3</f>
        <v/>
      </c>
      <c r="B3">
        <f>SLA_Monthly!B3</f>
        <v/>
      </c>
      <c r="C3" s="12">
        <f>SLA_Monthly!E3</f>
        <v/>
      </c>
    </row>
    <row r="4">
      <c r="A4">
        <f>SLA_Monthly!A4</f>
        <v/>
      </c>
      <c r="B4">
        <f>SLA_Monthly!B4</f>
        <v/>
      </c>
      <c r="C4" s="12">
        <f>SLA_Monthly!E4</f>
        <v/>
      </c>
    </row>
    <row r="5">
      <c r="A5">
        <f>SLA_Monthly!A5</f>
        <v/>
      </c>
      <c r="B5">
        <f>SLA_Monthly!B5</f>
        <v/>
      </c>
      <c r="C5" s="12">
        <f>SLA_Monthly!E5</f>
        <v/>
      </c>
    </row>
    <row r="6">
      <c r="A6">
        <f>SLA_Monthly!A6</f>
        <v/>
      </c>
      <c r="B6">
        <f>SLA_Monthly!B6</f>
        <v/>
      </c>
      <c r="C6" s="12">
        <f>SLA_Monthly!E6</f>
        <v/>
      </c>
    </row>
    <row r="7">
      <c r="A7">
        <f>SLA_Monthly!A7</f>
        <v/>
      </c>
      <c r="B7">
        <f>SLA_Monthly!B7</f>
        <v/>
      </c>
      <c r="C7" s="12">
        <f>SLA_Monthly!E7</f>
        <v/>
      </c>
    </row>
    <row r="8">
      <c r="A8">
        <f>SLA_Monthly!A8</f>
        <v/>
      </c>
      <c r="B8">
        <f>SLA_Monthly!B8</f>
        <v/>
      </c>
      <c r="C8" s="12">
        <f>SLA_Monthly!E8</f>
        <v/>
      </c>
    </row>
    <row r="9">
      <c r="A9">
        <f>SLA_Monthly!A9</f>
        <v/>
      </c>
      <c r="B9">
        <f>SLA_Monthly!B9</f>
        <v/>
      </c>
      <c r="C9" s="12">
        <f>SLA_Monthly!E9</f>
        <v/>
      </c>
    </row>
    <row r="10">
      <c r="A10">
        <f>SLA_Monthly!A10</f>
        <v/>
      </c>
      <c r="B10">
        <f>SLA_Monthly!B10</f>
        <v/>
      </c>
      <c r="C10" s="12">
        <f>SLA_Monthly!E10</f>
        <v/>
      </c>
    </row>
    <row r="11">
      <c r="A11">
        <f>SLA_Monthly!A11</f>
        <v/>
      </c>
      <c r="B11">
        <f>SLA_Monthly!B11</f>
        <v/>
      </c>
      <c r="C11" s="12">
        <f>SLA_Monthly!E11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Zohaib Yousaf</dc:creator>
  <dc:title xmlns:dc="http://purl.org/dc/elements/1.1/">IT Budget &amp; SLA Tracker</dc:title>
  <dc:description xmlns:dc="http://purl.org/dc/elements/1.1/">Formula-driven IT budget control and helpdesk SLA monthly reporting workbook by Zohaib Yousaf, IT Manager.</dc:description>
  <dcterms:created xmlns:dcterms="http://purl.org/dc/terms/" xmlns:xsi="http://www.w3.org/2001/XMLSchema-instance" xsi:type="dcterms:W3CDTF">2026-10-27T19:58:25+00:00Z</dcterms:created>
  <dcterms:modified xmlns:dcterms="http://purl.org/dc/terms/" xmlns:xsi="http://www.w3.org/2001/XMLSchema-instance" xsi:type="dcterms:W3CDTF">2026-10-27T19:58:25+00:00Z</dcterms:modified>
</cp:coreProperties>
</file>